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  <sheet name="Product Analysis" sheetId="2" r:id="rId2"/>
    <sheet name="Dashboard" sheetId="3" r:id="rId3"/>
  </sheets>
  <calcPr calcId="144525"/>
</workbook>
</file>

<file path=xl/calcChain.xml><?xml version="1.0" encoding="utf-8"?>
<calcChain xmlns="http://schemas.openxmlformats.org/spreadsheetml/2006/main">
  <c r="B3" i="3" l="1"/>
  <c r="H3" i="3"/>
  <c r="K3" i="3"/>
  <c r="E3" i="3"/>
  <c r="K14" i="1" l="1"/>
  <c r="K2" i="1"/>
  <c r="K13" i="1"/>
  <c r="K12" i="1"/>
  <c r="K6" i="1"/>
  <c r="K4" i="1"/>
  <c r="K9" i="1"/>
  <c r="K5" i="1"/>
  <c r="K11" i="1"/>
  <c r="K3" i="1"/>
  <c r="K10" i="1"/>
  <c r="K7" i="1"/>
  <c r="K8" i="1"/>
  <c r="I2" i="1"/>
  <c r="I13" i="1"/>
  <c r="I12" i="1"/>
  <c r="I6" i="1"/>
  <c r="I4" i="1"/>
  <c r="I9" i="1"/>
  <c r="I5" i="1"/>
  <c r="I11" i="1"/>
  <c r="I3" i="1"/>
  <c r="I10" i="1"/>
  <c r="I7" i="1"/>
  <c r="I8" i="1"/>
  <c r="H2" i="1"/>
  <c r="H13" i="1"/>
  <c r="H12" i="1"/>
  <c r="H6" i="1"/>
  <c r="H4" i="1"/>
  <c r="H9" i="1"/>
  <c r="H5" i="1"/>
  <c r="B5" i="2" s="1"/>
  <c r="H11" i="1"/>
  <c r="H3" i="1"/>
  <c r="H10" i="1"/>
  <c r="H7" i="1"/>
  <c r="H8" i="1"/>
  <c r="B4" i="2" s="1"/>
  <c r="H14" i="1" l="1"/>
  <c r="B2" i="2"/>
  <c r="B3" i="2"/>
  <c r="I14" i="1"/>
  <c r="J12" i="1"/>
  <c r="J8" i="1"/>
  <c r="J7" i="1"/>
  <c r="J2" i="1"/>
  <c r="J10" i="1"/>
  <c r="J3" i="1"/>
  <c r="J4" i="1"/>
  <c r="J13" i="1"/>
  <c r="J5" i="1"/>
  <c r="J9" i="1"/>
  <c r="J6" i="1"/>
  <c r="J11" i="1"/>
  <c r="J14" i="1" l="1"/>
</calcChain>
</file>

<file path=xl/sharedStrings.xml><?xml version="1.0" encoding="utf-8"?>
<sst xmlns="http://schemas.openxmlformats.org/spreadsheetml/2006/main" count="51" uniqueCount="31">
  <si>
    <t>Order ID</t>
  </si>
  <si>
    <t>Date</t>
  </si>
  <si>
    <t>Product</t>
  </si>
  <si>
    <t>Region</t>
  </si>
  <si>
    <t>Quantity</t>
  </si>
  <si>
    <t>Unit Price</t>
  </si>
  <si>
    <t>Unit Cost</t>
  </si>
  <si>
    <t>Laptop</t>
  </si>
  <si>
    <t>East</t>
  </si>
  <si>
    <t>Mouse</t>
  </si>
  <si>
    <t>West</t>
  </si>
  <si>
    <t>Keyboard</t>
  </si>
  <si>
    <t>Monitor</t>
  </si>
  <si>
    <t>South</t>
  </si>
  <si>
    <t>North</t>
  </si>
  <si>
    <t>Column1</t>
  </si>
  <si>
    <t>Total sales</t>
  </si>
  <si>
    <t>Total Cost</t>
  </si>
  <si>
    <t>Profit</t>
  </si>
  <si>
    <t>Grand Total</t>
  </si>
  <si>
    <t>Total Sales</t>
  </si>
  <si>
    <t>mouse</t>
  </si>
  <si>
    <t>RETAIL SALES DASHBOARD</t>
  </si>
  <si>
    <t>Total Revenue</t>
  </si>
  <si>
    <t>Total Profit</t>
  </si>
  <si>
    <t>Gross Profit Margin</t>
  </si>
  <si>
    <t>Total Transactions</t>
  </si>
  <si>
    <t>Key Business Findings</t>
  </si>
  <si>
    <t>1. Laptops generated the highest product revenue at 250000</t>
  </si>
  <si>
    <t>2. The East region led sales with 1,24,000</t>
  </si>
  <si>
    <t>3. Gross profit margin was 19.69% across all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</si>
</sst>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8"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by Product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Analysis'!$B$1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'Product Analysis'!$A$2:$A$5</c:f>
              <c:strCache>
                <c:ptCount val="4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</c:strCache>
            </c:strRef>
          </c:cat>
          <c:val>
            <c:numRef>
              <c:f>'Product Analysis'!$B$2:$B$5</c:f>
              <c:numCache>
                <c:formatCode>General</c:formatCode>
                <c:ptCount val="4"/>
                <c:pt idx="0">
                  <c:v>250000</c:v>
                </c:pt>
                <c:pt idx="1">
                  <c:v>18400</c:v>
                </c:pt>
                <c:pt idx="2">
                  <c:v>19500</c:v>
                </c:pt>
                <c:pt idx="3">
                  <c:v>72000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661056"/>
        <c:axId val="137662848"/>
      </c:barChart>
      <c:catAx>
        <c:axId val="137661056"/>
        <c:scaling>
          <c:orientation val="minMax"/>
        </c:scaling>
        <c:delete val="0"/>
        <c:axPos val="l"/>
        <c:majorTickMark val="out"/>
        <c:minorTickMark val="none"/>
        <c:tickLblPos val="nextTo"/>
        <c:crossAx val="137662848"/>
        <c:crosses val="autoZero"/>
        <c:auto val="1"/>
        <c:lblAlgn val="ctr"/>
        <c:lblOffset val="100"/>
        <c:noMultiLvlLbl val="0"/>
      </c:catAx>
      <c:valAx>
        <c:axId val="1376628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7661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099518810148729E-2"/>
          <c:y val="7.4548702245552628E-2"/>
          <c:w val="0.75220691163604547"/>
          <c:h val="0.771190944881889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Sheet1!$D$2:$D$13</c:f>
              <c:strCache>
                <c:ptCount val="12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West</c:v>
                </c:pt>
                <c:pt idx="4">
                  <c:v>South</c:v>
                </c:pt>
                <c:pt idx="5">
                  <c:v>East</c:v>
                </c:pt>
                <c:pt idx="6">
                  <c:v>West</c:v>
                </c:pt>
                <c:pt idx="7">
                  <c:v>East</c:v>
                </c:pt>
                <c:pt idx="8">
                  <c:v>North</c:v>
                </c:pt>
                <c:pt idx="9">
                  <c:v>North</c:v>
                </c:pt>
                <c:pt idx="10">
                  <c:v>East</c:v>
                </c:pt>
                <c:pt idx="11">
                  <c:v>West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6368"/>
        <c:axId val="18348288"/>
      </c:barChart>
      <c:catAx>
        <c:axId val="18346368"/>
        <c:scaling>
          <c:orientation val="minMax"/>
        </c:scaling>
        <c:delete val="0"/>
        <c:axPos val="b"/>
        <c:majorTickMark val="out"/>
        <c:minorTickMark val="none"/>
        <c:tickLblPos val="nextTo"/>
        <c:crossAx val="18348288"/>
        <c:crosses val="autoZero"/>
        <c:auto val="1"/>
        <c:lblAlgn val="ctr"/>
        <c:lblOffset val="100"/>
        <c:noMultiLvlLbl val="0"/>
      </c:catAx>
      <c:valAx>
        <c:axId val="18348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346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41686</xdr:colOff>
      <xdr:row>9</xdr:row>
      <xdr:rowOff>150383</xdr:rowOff>
    </xdr:from>
    <xdr:to>
      <xdr:col>9</xdr:col>
      <xdr:colOff>346486</xdr:colOff>
      <xdr:row>25</xdr:row>
      <xdr:rowOff>24877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104440</xdr:colOff>
      <xdr:row>26</xdr:row>
      <xdr:rowOff>51770</xdr:rowOff>
    </xdr:from>
    <xdr:to>
      <xdr:col>9</xdr:col>
      <xdr:colOff>409240</xdr:colOff>
      <xdr:row>41</xdr:row>
      <xdr:rowOff>105558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0.10853</cdr:x>
      <cdr:y>3.64538E-7</cdr:y>
    </cdr:from>
    <cdr:to>
      <cdr:x>0.88108</cdr:x>
      <cdr:y>0.20662</cdr:y>
    </cdr:to>
    <cdr:sp macro="" textlink="">
      <cdr:nvSpPr>
        <cdr:cNvPr id="2" name="Rectangle 1"/>
        <cdr:cNvSpPr/>
      </cdr:nvSpPr>
      <cdr:spPr>
        <a:xfrm xmlns:a="http://schemas.openxmlformats.org/drawingml/2006/main" flipH="1">
          <a:off x="496194" y="1"/>
          <a:ext cx="3532095" cy="56679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US" sz="54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Sales</a:t>
          </a:r>
          <a:r>
            <a:rPr lang="en-US" sz="54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 by Region</a:t>
          </a:r>
          <a:endParaRPr lang="en-US" sz="54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</a:endParaRPr>
        </a:p>
      </cdr:txBody>
    </cdr:sp>
  </cdr:relSizeAnchor>
</c:userShapes>
</file>

<file path=xl/tables/table1.xml><?xml version="1.0" encoding="utf-8"?>
<table xmlns="http://schemas.openxmlformats.org/spreadsheetml/2006/main" id="2" name="Table2" displayName="Table2" ref="A1:K14" totalsRowShown="0" headerRowDxfId="7">
  <autoFilter ref="A1:K14"/>
  <sortState ref="A2:K14">
    <sortCondition descending="1" ref="H1:H14"/>
  </sortState>
  <tableColumns count="11">
    <tableColumn id="1" name="Order ID"/>
    <tableColumn id="2" name="Date" dataDxfId="6"/>
    <tableColumn id="3" name="Product"/>
    <tableColumn id="4" name="Region"/>
    <tableColumn id="5" name="Quantity"/>
    <tableColumn id="6" name="Unit Price" dataDxfId="5"/>
    <tableColumn id="7" name="Unit Cost" dataDxfId="4"/>
    <tableColumn id="8" name="Total sales" dataDxfId="3">
      <calculatedColumnFormula>E2*F2</calculatedColumnFormula>
    </tableColumn>
    <tableColumn id="9" name="Total Cost" dataDxfId="2">
      <calculatedColumnFormula>E2*G2</calculatedColumnFormula>
    </tableColumn>
    <tableColumn id="10" name="Profit" dataDxfId="1">
      <calculatedColumnFormula>H2-I2</calculatedColumnFormula>
    </tableColumn>
    <tableColumn id="11" name="Column1" dataDxfId="0">
      <calculatedColumnFormula>COUNTIF(A:A,A2)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E13" sqref="D2:E13"/>
    </sheetView>
  </sheetViews>
  <sheetFormatPr defaultRowHeight="14.4" x14ac:dyDescent="0.3"/>
  <cols>
    <col min="1" max="1" width="9.88671875" customWidth="1"/>
    <col min="2" max="2" width="10.33203125" bestFit="1" customWidth="1"/>
    <col min="3" max="3" width="9.5546875" customWidth="1"/>
    <col min="4" max="4" width="8.6640625" customWidth="1"/>
    <col min="5" max="5" width="10.21875" customWidth="1"/>
    <col min="6" max="6" width="11" customWidth="1"/>
    <col min="7" max="7" width="10.5546875" customWidth="1"/>
    <col min="8" max="9" width="9.33203125" bestFit="1" customWidth="1"/>
    <col min="10" max="10" width="9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  <c r="I1" s="2" t="s">
        <v>17</v>
      </c>
      <c r="J1" s="2" t="s">
        <v>18</v>
      </c>
      <c r="K1" s="2" t="s">
        <v>15</v>
      </c>
    </row>
    <row r="2" spans="1:11" x14ac:dyDescent="0.3">
      <c r="A2">
        <v>1001</v>
      </c>
      <c r="B2" s="1">
        <v>46025</v>
      </c>
      <c r="C2" t="s">
        <v>7</v>
      </c>
      <c r="D2" t="s">
        <v>8</v>
      </c>
      <c r="E2">
        <v>2</v>
      </c>
      <c r="F2" s="3">
        <v>50000</v>
      </c>
      <c r="G2" s="3">
        <v>42000</v>
      </c>
      <c r="H2" s="3">
        <f>E2*F2</f>
        <v>100000</v>
      </c>
      <c r="I2" s="3">
        <f>E2*G2</f>
        <v>84000</v>
      </c>
      <c r="J2" s="3">
        <f>H2-I2</f>
        <v>16000</v>
      </c>
      <c r="K2" s="3">
        <f>COUNTIF(A:A,A2)</f>
        <v>1</v>
      </c>
    </row>
    <row r="3" spans="1:11" x14ac:dyDescent="0.3">
      <c r="A3">
        <v>1009</v>
      </c>
      <c r="B3" s="1">
        <v>46064</v>
      </c>
      <c r="C3" t="s">
        <v>7</v>
      </c>
      <c r="D3" t="s">
        <v>13</v>
      </c>
      <c r="E3">
        <v>2</v>
      </c>
      <c r="F3" s="3">
        <v>50000</v>
      </c>
      <c r="G3" s="3">
        <v>42000</v>
      </c>
      <c r="H3" s="3">
        <f>E3*F3</f>
        <v>100000</v>
      </c>
      <c r="I3" s="3">
        <f>E3*G3</f>
        <v>84000</v>
      </c>
      <c r="J3" s="3">
        <f>H3-I3</f>
        <v>16000</v>
      </c>
      <c r="K3" s="3">
        <f>COUNTIF(A:A,A3)</f>
        <v>1</v>
      </c>
    </row>
    <row r="4" spans="1:11" x14ac:dyDescent="0.3">
      <c r="A4">
        <v>1005</v>
      </c>
      <c r="B4" s="1">
        <v>46037</v>
      </c>
      <c r="C4" t="s">
        <v>7</v>
      </c>
      <c r="D4" t="s">
        <v>14</v>
      </c>
      <c r="E4">
        <v>1</v>
      </c>
      <c r="F4" s="3">
        <v>50000</v>
      </c>
      <c r="G4" s="3">
        <v>42000</v>
      </c>
      <c r="H4" s="3">
        <f>E4*F4</f>
        <v>50000</v>
      </c>
      <c r="I4" s="3">
        <f>E4*G4</f>
        <v>42000</v>
      </c>
      <c r="J4" s="3">
        <f>H4-I4</f>
        <v>8000</v>
      </c>
      <c r="K4" s="3">
        <f>COUNTIF(A:A,A4)</f>
        <v>1</v>
      </c>
    </row>
    <row r="5" spans="1:11" x14ac:dyDescent="0.3">
      <c r="A5">
        <v>1007</v>
      </c>
      <c r="B5" s="1">
        <v>46055</v>
      </c>
      <c r="C5" t="s">
        <v>12</v>
      </c>
      <c r="D5" t="s">
        <v>10</v>
      </c>
      <c r="E5">
        <v>3</v>
      </c>
      <c r="F5" s="3">
        <v>12000</v>
      </c>
      <c r="G5" s="3">
        <v>9500</v>
      </c>
      <c r="H5" s="3">
        <f>E5*F5</f>
        <v>36000</v>
      </c>
      <c r="I5" s="3">
        <f>E5*G5</f>
        <v>28500</v>
      </c>
      <c r="J5" s="3">
        <f>H5-I5</f>
        <v>7500</v>
      </c>
      <c r="K5" s="3">
        <f>COUNTIF(A:A,A5)</f>
        <v>1</v>
      </c>
    </row>
    <row r="6" spans="1:11" x14ac:dyDescent="0.3">
      <c r="A6">
        <v>1004</v>
      </c>
      <c r="B6" s="1">
        <v>46034</v>
      </c>
      <c r="C6" t="s">
        <v>12</v>
      </c>
      <c r="D6" t="s">
        <v>13</v>
      </c>
      <c r="E6">
        <v>2</v>
      </c>
      <c r="F6" s="3">
        <v>12000</v>
      </c>
      <c r="G6" s="3">
        <v>9500</v>
      </c>
      <c r="H6" s="3">
        <f>E6*F6</f>
        <v>24000</v>
      </c>
      <c r="I6" s="3">
        <f>E6*G6</f>
        <v>19000</v>
      </c>
      <c r="J6" s="3">
        <f>H6-I6</f>
        <v>5000</v>
      </c>
      <c r="K6" s="3">
        <f>COUNTIF(A:A,A6)</f>
        <v>1</v>
      </c>
    </row>
    <row r="7" spans="1:11" x14ac:dyDescent="0.3">
      <c r="A7">
        <v>1011</v>
      </c>
      <c r="B7" s="1">
        <v>46073</v>
      </c>
      <c r="C7" t="s">
        <v>12</v>
      </c>
      <c r="D7" t="s">
        <v>8</v>
      </c>
      <c r="E7">
        <v>1</v>
      </c>
      <c r="F7" s="3">
        <v>12000</v>
      </c>
      <c r="G7" s="3">
        <v>9500</v>
      </c>
      <c r="H7" s="3">
        <f>E7*F7</f>
        <v>12000</v>
      </c>
      <c r="I7" s="3">
        <f>E7*G7</f>
        <v>9500</v>
      </c>
      <c r="J7" s="3">
        <f>H7-I7</f>
        <v>2500</v>
      </c>
      <c r="K7" s="3">
        <f>COUNTIF(A:A,A7)</f>
        <v>1</v>
      </c>
    </row>
    <row r="8" spans="1:11" x14ac:dyDescent="0.3">
      <c r="A8">
        <v>1012</v>
      </c>
      <c r="B8" s="1">
        <v>46078</v>
      </c>
      <c r="C8" t="s">
        <v>11</v>
      </c>
      <c r="D8" t="s">
        <v>10</v>
      </c>
      <c r="E8">
        <v>6</v>
      </c>
      <c r="F8" s="3">
        <v>1500</v>
      </c>
      <c r="G8" s="3">
        <v>900</v>
      </c>
      <c r="H8" s="3">
        <f>E8*F8</f>
        <v>9000</v>
      </c>
      <c r="I8" s="3">
        <f>E8*G8</f>
        <v>5400</v>
      </c>
      <c r="J8" s="3">
        <f>H8-I8</f>
        <v>3600</v>
      </c>
      <c r="K8" s="3">
        <f>COUNTIF(A:A,A8)</f>
        <v>1</v>
      </c>
    </row>
    <row r="9" spans="1:11" x14ac:dyDescent="0.3">
      <c r="A9">
        <v>1006</v>
      </c>
      <c r="B9" s="1">
        <v>46040</v>
      </c>
      <c r="C9" t="s">
        <v>9</v>
      </c>
      <c r="D9" t="s">
        <v>8</v>
      </c>
      <c r="E9">
        <v>10</v>
      </c>
      <c r="F9" s="3">
        <v>800</v>
      </c>
      <c r="G9" s="3">
        <v>450</v>
      </c>
      <c r="H9" s="3">
        <f>E9*F9</f>
        <v>8000</v>
      </c>
      <c r="I9" s="3">
        <f>E9*G9</f>
        <v>4500</v>
      </c>
      <c r="J9" s="3">
        <f>H9-I9</f>
        <v>3500</v>
      </c>
      <c r="K9" s="3">
        <f>COUNTIF(A:A,A9)</f>
        <v>1</v>
      </c>
    </row>
    <row r="10" spans="1:11" x14ac:dyDescent="0.3">
      <c r="A10">
        <v>1010</v>
      </c>
      <c r="B10" s="1">
        <v>46068</v>
      </c>
      <c r="C10" t="s">
        <v>9</v>
      </c>
      <c r="D10" t="s">
        <v>14</v>
      </c>
      <c r="E10">
        <v>8</v>
      </c>
      <c r="F10" s="3">
        <v>800</v>
      </c>
      <c r="G10" s="3">
        <v>450</v>
      </c>
      <c r="H10" s="3">
        <f>E10*F10</f>
        <v>6400</v>
      </c>
      <c r="I10" s="3">
        <f>E10*G10</f>
        <v>3600</v>
      </c>
      <c r="J10" s="3">
        <f>H10-I10</f>
        <v>2800</v>
      </c>
      <c r="K10" s="3">
        <f>COUNTIF(A:A,A10)</f>
        <v>1</v>
      </c>
    </row>
    <row r="11" spans="1:11" x14ac:dyDescent="0.3">
      <c r="A11">
        <v>1008</v>
      </c>
      <c r="B11" s="1">
        <v>46059</v>
      </c>
      <c r="C11" t="s">
        <v>11</v>
      </c>
      <c r="D11" t="s">
        <v>14</v>
      </c>
      <c r="E11">
        <v>4</v>
      </c>
      <c r="F11" s="3">
        <v>1500</v>
      </c>
      <c r="G11" s="3">
        <v>900</v>
      </c>
      <c r="H11" s="3">
        <f>E11*F11</f>
        <v>6000</v>
      </c>
      <c r="I11" s="3">
        <f>E11*G11</f>
        <v>3600</v>
      </c>
      <c r="J11" s="3">
        <f>H11-I11</f>
        <v>2400</v>
      </c>
      <c r="K11" s="3">
        <f>COUNTIF(A:A,A11)</f>
        <v>1</v>
      </c>
    </row>
    <row r="12" spans="1:11" x14ac:dyDescent="0.3">
      <c r="A12">
        <v>1003</v>
      </c>
      <c r="B12" s="1">
        <v>46030</v>
      </c>
      <c r="C12" t="s">
        <v>11</v>
      </c>
      <c r="D12" t="s">
        <v>8</v>
      </c>
      <c r="E12">
        <v>3</v>
      </c>
      <c r="F12" s="3">
        <v>1500</v>
      </c>
      <c r="G12" s="3">
        <v>900</v>
      </c>
      <c r="H12" s="3">
        <f>E12*F12</f>
        <v>4500</v>
      </c>
      <c r="I12" s="3">
        <f>E12*G12</f>
        <v>2700</v>
      </c>
      <c r="J12" s="3">
        <f>H12-I12</f>
        <v>1800</v>
      </c>
      <c r="K12" s="3">
        <f>COUNTIF(A:A,A12)</f>
        <v>1</v>
      </c>
    </row>
    <row r="13" spans="1:11" x14ac:dyDescent="0.3">
      <c r="A13">
        <v>1002</v>
      </c>
      <c r="B13" s="1">
        <v>46027</v>
      </c>
      <c r="C13" t="s">
        <v>9</v>
      </c>
      <c r="D13" t="s">
        <v>10</v>
      </c>
      <c r="E13">
        <v>5</v>
      </c>
      <c r="F13" s="3">
        <v>800</v>
      </c>
      <c r="G13" s="3">
        <v>450</v>
      </c>
      <c r="H13" s="3">
        <f>E13*F13</f>
        <v>4000</v>
      </c>
      <c r="I13" s="3">
        <f>E13*G13</f>
        <v>2250</v>
      </c>
      <c r="J13" s="3">
        <f>H13-I13</f>
        <v>1750</v>
      </c>
      <c r="K13" s="3">
        <f>COUNTIF(A:A,A13)</f>
        <v>1</v>
      </c>
    </row>
    <row r="14" spans="1:11" x14ac:dyDescent="0.3">
      <c r="B14" s="1"/>
      <c r="F14" s="3"/>
      <c r="G14" s="3" t="s">
        <v>19</v>
      </c>
      <c r="H14" s="3">
        <f>SUM(H13:H13)</f>
        <v>4000</v>
      </c>
      <c r="I14" s="3">
        <f>SUM(I13:I13)</f>
        <v>2250</v>
      </c>
      <c r="J14" s="3">
        <f>H14-I14</f>
        <v>1750</v>
      </c>
      <c r="K14" s="3">
        <f>COUNTIF(A:A,A14)</f>
        <v>0</v>
      </c>
    </row>
    <row r="25" spans="2:2" x14ac:dyDescent="0.3">
      <c r="B25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A1:B5"/>
    </sheetView>
  </sheetViews>
  <sheetFormatPr defaultRowHeight="14.4" x14ac:dyDescent="0.3"/>
  <sheetData>
    <row r="1" spans="1:2" x14ac:dyDescent="0.3">
      <c r="A1" t="s">
        <v>2</v>
      </c>
      <c r="B1" t="s">
        <v>20</v>
      </c>
    </row>
    <row r="2" spans="1:2" x14ac:dyDescent="0.3">
      <c r="A2" t="s">
        <v>7</v>
      </c>
      <c r="B2">
        <f>SUMIF(Sheet1!$C$2:$C$13,A2,Sheet1!$H$2:$H$13)</f>
        <v>250000</v>
      </c>
    </row>
    <row r="3" spans="1:2" x14ac:dyDescent="0.3">
      <c r="A3" t="s">
        <v>21</v>
      </c>
      <c r="B3">
        <f>SUMIF(Sheet1!$C$2:$C$13,A3,Sheet1!$H$2:$H$13)</f>
        <v>18400</v>
      </c>
    </row>
    <row r="4" spans="1:2" x14ac:dyDescent="0.3">
      <c r="A4" t="s">
        <v>11</v>
      </c>
      <c r="B4">
        <f>SUMIF(Sheet1!$C$2:$C$13,A4,Sheet1!$H$2:$H$13)</f>
        <v>19500</v>
      </c>
    </row>
    <row r="5" spans="1:2" x14ac:dyDescent="0.3">
      <c r="A5" t="s">
        <v>12</v>
      </c>
      <c r="B5">
        <f>SUMIF(Sheet1!$C$2:$C$13,A5,Sheet1!$H$2:$H$13)</f>
        <v>72000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="85" zoomScaleNormal="85" workbookViewId="0">
      <selection activeCell="D8" sqref="D8"/>
    </sheetView>
  </sheetViews>
  <sheetFormatPr defaultRowHeight="14.4" x14ac:dyDescent="0.3"/>
  <cols>
    <col min="1" max="1" width="11.5546875" customWidth="1"/>
    <col min="2" max="2" width="13.33203125" customWidth="1"/>
    <col min="4" max="4" width="13.88671875" customWidth="1"/>
    <col min="7" max="7" width="15.6640625" customWidth="1"/>
    <col min="10" max="10" width="13.33203125" customWidth="1"/>
  </cols>
  <sheetData>
    <row r="1" spans="1:11" x14ac:dyDescent="0.3">
      <c r="A1" t="s">
        <v>22</v>
      </c>
    </row>
    <row r="3" spans="1:11" x14ac:dyDescent="0.3">
      <c r="A3" s="5" t="s">
        <v>23</v>
      </c>
      <c r="B3" s="6">
        <f>SUM(Sheet1!H2:H13)</f>
        <v>359900</v>
      </c>
      <c r="D3" s="5" t="s">
        <v>24</v>
      </c>
      <c r="E3" s="6">
        <f>SUM(Sheet1!J2:J13)</f>
        <v>70850</v>
      </c>
      <c r="G3" s="7" t="s">
        <v>25</v>
      </c>
      <c r="H3" s="8">
        <f>E3/B3</f>
        <v>0.19686023895526536</v>
      </c>
      <c r="J3" s="7" t="s">
        <v>26</v>
      </c>
      <c r="K3" s="7">
        <f>COUNTA(Sheet1!A2:A13)</f>
        <v>12</v>
      </c>
    </row>
    <row r="6" spans="1:11" x14ac:dyDescent="0.3">
      <c r="A6" t="s">
        <v>27</v>
      </c>
    </row>
    <row r="7" spans="1:11" x14ac:dyDescent="0.3">
      <c r="A7" t="s">
        <v>28</v>
      </c>
    </row>
    <row r="8" spans="1:11" x14ac:dyDescent="0.3">
      <c r="A8" t="s">
        <v>29</v>
      </c>
    </row>
    <row r="9" spans="1:11" x14ac:dyDescent="0.3">
      <c r="A9" t="s">
        <v>30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Product Analysis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RITHIK BHANJA</dc:creator>
  <cp:lastModifiedBy>RITHIK BHANJA</cp:lastModifiedBy>
  <dcterms:created xsi:type="dcterms:W3CDTF">2026-10-18T19:26:53Z</dcterms:created>
  <dcterms:modified xsi:type="dcterms:W3CDTF">2026-10-19T07:00:44Z</dcterms:modified>
</cp:coreProperties>
</file>